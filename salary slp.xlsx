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h Singh Negi\Desktop\"/>
    </mc:Choice>
  </mc:AlternateContent>
  <xr:revisionPtr revIDLastSave="0" documentId="13_ncr:1_{25E8EFA4-03EA-4A44-97F3-7825FD0DD30A}" xr6:coauthVersionLast="36" xr6:coauthVersionMax="36" xr10:uidLastSave="{00000000-0000-0000-0000-000000000000}"/>
  <bookViews>
    <workbookView xWindow="0" yWindow="0" windowWidth="17256" windowHeight="5556" xr2:uid="{C9F52852-FEE7-49FD-A814-AD410B40A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C5" i="1"/>
  <c r="H5" i="1" s="1"/>
  <c r="I5" i="1" s="1"/>
  <c r="D5" i="1"/>
  <c r="E5" i="1"/>
  <c r="F5" i="1"/>
  <c r="G5" i="1"/>
  <c r="C6" i="1"/>
  <c r="D6" i="1"/>
  <c r="E6" i="1"/>
  <c r="F6" i="1"/>
  <c r="G6" i="1"/>
  <c r="H6" i="1"/>
  <c r="I6" i="1"/>
  <c r="C7" i="1"/>
  <c r="F7" i="1" s="1"/>
  <c r="D7" i="1"/>
  <c r="E7" i="1"/>
  <c r="C8" i="1"/>
  <c r="D8" i="1"/>
  <c r="E8" i="1"/>
  <c r="F8" i="1"/>
  <c r="G8" i="1"/>
  <c r="H8" i="1"/>
  <c r="I8" i="1"/>
  <c r="C9" i="1"/>
  <c r="D9" i="1" s="1"/>
  <c r="C10" i="1"/>
  <c r="D10" i="1"/>
  <c r="E10" i="1"/>
  <c r="F10" i="1"/>
  <c r="G10" i="1"/>
  <c r="H10" i="1"/>
  <c r="I10" i="1" s="1"/>
  <c r="C11" i="1"/>
  <c r="D11" i="1"/>
  <c r="E11" i="1"/>
  <c r="F11" i="1"/>
  <c r="G11" i="1"/>
  <c r="H11" i="1"/>
  <c r="I11" i="1"/>
  <c r="C12" i="1"/>
  <c r="G12" i="1" s="1"/>
  <c r="D12" i="1"/>
  <c r="E12" i="1"/>
  <c r="F12" i="1"/>
  <c r="I3" i="1"/>
  <c r="H3" i="1"/>
  <c r="G3" i="1"/>
  <c r="F3" i="1"/>
  <c r="E3" i="1"/>
  <c r="D3" i="1"/>
  <c r="C3" i="1"/>
  <c r="H12" i="1" l="1"/>
  <c r="I12" i="1" s="1"/>
  <c r="E9" i="1"/>
  <c r="G7" i="1"/>
  <c r="H7" i="1" s="1"/>
  <c r="I7" i="1" s="1"/>
  <c r="F9" i="1" l="1"/>
  <c r="G9" i="1" l="1"/>
  <c r="H9" i="1" s="1"/>
  <c r="I9" i="1" s="1"/>
</calcChain>
</file>

<file path=xl/sharedStrings.xml><?xml version="1.0" encoding="utf-8"?>
<sst xmlns="http://schemas.openxmlformats.org/spreadsheetml/2006/main" count="20" uniqueCount="20">
  <si>
    <t xml:space="preserve">salary slip </t>
  </si>
  <si>
    <t xml:space="preserve">name </t>
  </si>
  <si>
    <t xml:space="preserve">basic slaray </t>
  </si>
  <si>
    <t xml:space="preserve">h.r.a </t>
  </si>
  <si>
    <t xml:space="preserve">da </t>
  </si>
  <si>
    <t>ta</t>
  </si>
  <si>
    <t>it</t>
  </si>
  <si>
    <t>pf</t>
  </si>
  <si>
    <t xml:space="preserve">net salary </t>
  </si>
  <si>
    <t xml:space="preserve">house \rent </t>
  </si>
  <si>
    <t xml:space="preserve">jai </t>
  </si>
  <si>
    <t>ajay</t>
  </si>
  <si>
    <t>ram</t>
  </si>
  <si>
    <t>shyam</t>
  </si>
  <si>
    <t xml:space="preserve">mohit </t>
  </si>
  <si>
    <t xml:space="preserve">riya </t>
  </si>
  <si>
    <t xml:space="preserve">ziya </t>
  </si>
  <si>
    <t xml:space="preserve">sonu </t>
  </si>
  <si>
    <t>ramu</t>
  </si>
  <si>
    <t>kalu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</si>
</sst>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8648-407D-4BF5-BD2E-F59492897BBD}">
  <dimension ref="A1:I12"/>
  <sheetViews>
    <sheetView tabSelected="1" workbookViewId="0">
      <selection activeCell="F14" sqref="F14"/>
    </sheetView>
  </sheetViews>
  <sheetFormatPr defaultRowHeight="14.4" x14ac:dyDescent="0.3"/>
  <cols>
    <col min="2" max="2" width="10.77734375" bestFit="1" customWidth="1"/>
    <col min="9" max="9" width="10.88671875" bestFit="1" customWidth="1"/>
  </cols>
  <sheetData>
    <row r="1" spans="1:9" x14ac:dyDescent="0.3">
      <c r="H1" t="s">
        <v>0</v>
      </c>
    </row>
    <row r="2" spans="1:9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3">
      <c r="A3" t="s">
        <v>10</v>
      </c>
      <c r="B3">
        <v>12000</v>
      </c>
      <c r="C3">
        <f>B3*23%</f>
        <v>2760</v>
      </c>
      <c r="D3">
        <f>(B3+C3)*12%</f>
        <v>1771.2</v>
      </c>
      <c r="E3">
        <f>(B3+C3+D3)*15%</f>
        <v>2479.6799999999998</v>
      </c>
      <c r="F3">
        <f>(B3+C3+D3+E3)*15%</f>
        <v>2851.6320000000001</v>
      </c>
      <c r="G3">
        <f>(B3+C3+D3+E3+F3)*10%</f>
        <v>2186.2512000000002</v>
      </c>
      <c r="H3">
        <f>(B3+C3+D3+E3) -(F3+G3)</f>
        <v>13972.996800000001</v>
      </c>
      <c r="I3" t="str">
        <f>IF(H3&gt;=18000,"house","rent hose")</f>
        <v>rent hose</v>
      </c>
    </row>
    <row r="4" spans="1:9" x14ac:dyDescent="0.3">
      <c r="A4" t="s">
        <v>11</v>
      </c>
      <c r="B4">
        <v>18000</v>
      </c>
      <c r="C4">
        <f t="shared" ref="C4:C12" si="0">B4*23%</f>
        <v>4140</v>
      </c>
      <c r="D4">
        <f t="shared" ref="D4:D12" si="1">(B4+C4)*12%</f>
        <v>2656.7999999999997</v>
      </c>
      <c r="E4">
        <f t="shared" ref="E4:E12" si="2">(B4+C4+D4)*15%</f>
        <v>3719.5199999999995</v>
      </c>
      <c r="F4">
        <f t="shared" ref="F4:F12" si="3">(B4+C4+D4+E4)*15%</f>
        <v>4277.4479999999994</v>
      </c>
      <c r="G4">
        <f t="shared" ref="G4:G12" si="4">(B4+C4+D4+E4+F4)*10%</f>
        <v>3279.3768</v>
      </c>
      <c r="H4">
        <f t="shared" ref="H4:H12" si="5">(B4+C4+D4+E4) -(F4+G4)</f>
        <v>20959.495200000001</v>
      </c>
      <c r="I4" t="str">
        <f t="shared" ref="I4:I12" si="6">IF(H4&gt;=18000,"house","rent hose")</f>
        <v>house</v>
      </c>
    </row>
    <row r="5" spans="1:9" x14ac:dyDescent="0.3">
      <c r="A5" t="s">
        <v>12</v>
      </c>
      <c r="B5">
        <v>15000</v>
      </c>
      <c r="C5">
        <f t="shared" si="0"/>
        <v>3450</v>
      </c>
      <c r="D5">
        <f t="shared" si="1"/>
        <v>2214</v>
      </c>
      <c r="E5">
        <f t="shared" si="2"/>
        <v>3099.6</v>
      </c>
      <c r="F5">
        <f t="shared" si="3"/>
        <v>3564.5399999999995</v>
      </c>
      <c r="G5">
        <f t="shared" si="4"/>
        <v>2732.8140000000003</v>
      </c>
      <c r="H5">
        <f t="shared" si="5"/>
        <v>17466.245999999999</v>
      </c>
      <c r="I5" t="str">
        <f t="shared" si="6"/>
        <v>rent hose</v>
      </c>
    </row>
    <row r="6" spans="1:9" x14ac:dyDescent="0.3">
      <c r="A6" t="s">
        <v>13</v>
      </c>
      <c r="B6">
        <v>8000</v>
      </c>
      <c r="C6">
        <f t="shared" si="0"/>
        <v>1840</v>
      </c>
      <c r="D6">
        <f t="shared" si="1"/>
        <v>1180.8</v>
      </c>
      <c r="E6">
        <f t="shared" si="2"/>
        <v>1653.12</v>
      </c>
      <c r="F6">
        <f t="shared" si="3"/>
        <v>1901.0879999999997</v>
      </c>
      <c r="G6">
        <f t="shared" si="4"/>
        <v>1457.5007999999998</v>
      </c>
      <c r="H6">
        <f t="shared" si="5"/>
        <v>9315.3311999999987</v>
      </c>
      <c r="I6" t="str">
        <f t="shared" si="6"/>
        <v>rent hose</v>
      </c>
    </row>
    <row r="7" spans="1:9" x14ac:dyDescent="0.3">
      <c r="A7" t="s">
        <v>14</v>
      </c>
      <c r="B7">
        <v>20000</v>
      </c>
      <c r="C7">
        <f t="shared" si="0"/>
        <v>4600</v>
      </c>
      <c r="D7">
        <f t="shared" si="1"/>
        <v>2952</v>
      </c>
      <c r="E7">
        <f t="shared" si="2"/>
        <v>4132.8</v>
      </c>
      <c r="F7">
        <f t="shared" si="3"/>
        <v>4752.7199999999993</v>
      </c>
      <c r="G7">
        <f t="shared" si="4"/>
        <v>3643.752</v>
      </c>
      <c r="H7">
        <f t="shared" si="5"/>
        <v>23288.328000000001</v>
      </c>
      <c r="I7" t="str">
        <f t="shared" si="6"/>
        <v>house</v>
      </c>
    </row>
    <row r="8" spans="1:9" x14ac:dyDescent="0.3">
      <c r="A8" t="s">
        <v>15</v>
      </c>
      <c r="B8">
        <v>9000</v>
      </c>
      <c r="C8">
        <f t="shared" si="0"/>
        <v>2070</v>
      </c>
      <c r="D8">
        <f t="shared" si="1"/>
        <v>1328.3999999999999</v>
      </c>
      <c r="E8">
        <f t="shared" si="2"/>
        <v>1859.7599999999998</v>
      </c>
      <c r="F8">
        <f t="shared" si="3"/>
        <v>2138.7239999999997</v>
      </c>
      <c r="G8">
        <f t="shared" si="4"/>
        <v>1639.6884</v>
      </c>
      <c r="H8">
        <f t="shared" si="5"/>
        <v>10479.747600000001</v>
      </c>
      <c r="I8" t="str">
        <f t="shared" si="6"/>
        <v>rent hose</v>
      </c>
    </row>
    <row r="9" spans="1:9" x14ac:dyDescent="0.3">
      <c r="A9" t="s">
        <v>16</v>
      </c>
      <c r="B9">
        <v>10000</v>
      </c>
      <c r="C9">
        <f t="shared" si="0"/>
        <v>2300</v>
      </c>
      <c r="D9">
        <f t="shared" si="1"/>
        <v>1476</v>
      </c>
      <c r="E9">
        <f t="shared" si="2"/>
        <v>2066.4</v>
      </c>
      <c r="F9">
        <f t="shared" si="3"/>
        <v>2376.3599999999997</v>
      </c>
      <c r="G9">
        <f t="shared" si="4"/>
        <v>1821.876</v>
      </c>
      <c r="H9">
        <f t="shared" si="5"/>
        <v>11644.164000000001</v>
      </c>
      <c r="I9" t="str">
        <f t="shared" si="6"/>
        <v>rent hose</v>
      </c>
    </row>
    <row r="10" spans="1:9" x14ac:dyDescent="0.3">
      <c r="A10" t="s">
        <v>17</v>
      </c>
      <c r="B10">
        <v>8000</v>
      </c>
      <c r="C10">
        <f t="shared" si="0"/>
        <v>1840</v>
      </c>
      <c r="D10">
        <f t="shared" si="1"/>
        <v>1180.8</v>
      </c>
      <c r="E10">
        <f t="shared" si="2"/>
        <v>1653.12</v>
      </c>
      <c r="F10">
        <f t="shared" si="3"/>
        <v>1901.0879999999997</v>
      </c>
      <c r="G10">
        <f t="shared" si="4"/>
        <v>1457.5007999999998</v>
      </c>
      <c r="H10">
        <f t="shared" si="5"/>
        <v>9315.3311999999987</v>
      </c>
      <c r="I10" t="str">
        <f t="shared" si="6"/>
        <v>rent hose</v>
      </c>
    </row>
    <row r="11" spans="1:9" x14ac:dyDescent="0.3">
      <c r="A11" t="s">
        <v>18</v>
      </c>
      <c r="B11">
        <v>5000</v>
      </c>
      <c r="C11">
        <f t="shared" si="0"/>
        <v>1150</v>
      </c>
      <c r="D11">
        <f t="shared" si="1"/>
        <v>738</v>
      </c>
      <c r="E11">
        <f t="shared" si="2"/>
        <v>1033.2</v>
      </c>
      <c r="F11">
        <f t="shared" si="3"/>
        <v>1188.1799999999998</v>
      </c>
      <c r="G11">
        <f t="shared" si="4"/>
        <v>910.93799999999999</v>
      </c>
      <c r="H11">
        <f t="shared" si="5"/>
        <v>5822.0820000000003</v>
      </c>
      <c r="I11" t="str">
        <f t="shared" si="6"/>
        <v>rent hose</v>
      </c>
    </row>
    <row r="12" spans="1:9" x14ac:dyDescent="0.3">
      <c r="A12" t="s">
        <v>19</v>
      </c>
      <c r="B12">
        <v>6000</v>
      </c>
      <c r="C12">
        <f t="shared" si="0"/>
        <v>1380</v>
      </c>
      <c r="D12">
        <f t="shared" si="1"/>
        <v>885.6</v>
      </c>
      <c r="E12">
        <f t="shared" si="2"/>
        <v>1239.8399999999999</v>
      </c>
      <c r="F12">
        <f t="shared" si="3"/>
        <v>1425.816</v>
      </c>
      <c r="G12">
        <f t="shared" si="4"/>
        <v>1093.1256000000001</v>
      </c>
      <c r="H12">
        <f t="shared" si="5"/>
        <v>6986.4984000000004</v>
      </c>
      <c r="I12" t="str">
        <f t="shared" si="6"/>
        <v>rent hose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Singh Negi</dc:creator>
  <cp:lastModifiedBy>Nitesh Singh Negi</cp:lastModifiedBy>
  <dcterms:created xsi:type="dcterms:W3CDTF">2024-08-17T11:37:16Z</dcterms:created>
  <dcterms:modified xsi:type="dcterms:W3CDTF">2024-08-26T13:16:44Z</dcterms:modified>
</cp:coreProperties>
</file>